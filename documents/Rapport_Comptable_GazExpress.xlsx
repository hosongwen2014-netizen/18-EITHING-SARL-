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Ventes &amp; Marges" sheetId="1" state="visible" r:id="rId1"/>
    <sheet xmlns:r="http://schemas.openxmlformats.org/officeDocument/2006/relationships" name="Réconciliation MoMo &amp; Banques" sheetId="2" state="visible" r:id="rId2"/>
    <sheet xmlns:r="http://schemas.openxmlformats.org/officeDocument/2006/relationships" name="Commissions Livre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EA580C"/>
      <sz val="10"/>
    </font>
  </fonts>
  <fills count="7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EA580C"/>
        <bgColor rgb="00EA580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3" fontId="5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22" customWidth="1" min="3" max="3"/>
    <col width="29" customWidth="1" min="4" max="4"/>
    <col width="20" customWidth="1" min="5" max="5"/>
    <col width="12" customWidth="1" min="6" max="6"/>
    <col width="21" customWidth="1" min="7" max="7"/>
    <col width="18" customWidth="1" min="8" max="8"/>
    <col width="19" customWidth="1" min="9" max="9"/>
    <col width="23" customWidth="1" min="10" max="10"/>
    <col width="29" customWidth="1" min="11" max="11"/>
  </cols>
  <sheetData>
    <row r="1" ht="40" customHeight="1">
      <c r="A1" s="1" t="inlineStr">
        <is>
          <t>18 EITHING SARL • GAZEXPRESS BÉNIN - JOURNAL DES LIVRAISONS &amp; SUIVI DES MARGES</t>
        </is>
      </c>
    </row>
    <row r="2" ht="20" customHeight="1">
      <c r="A2" s="2" t="inlineStr">
        <is>
          <t>Arrêté au 01/11/2026 à 10:12 | Direction : M. Hubert C. TOKPANOU (DG) &amp; M. Pedro S. KPONON (Gérant)</t>
        </is>
      </c>
    </row>
    <row r="3"/>
    <row r="4" ht="26" customHeight="1">
      <c r="A4" s="3" t="inlineStr">
        <is>
          <t>N° Commande</t>
        </is>
      </c>
      <c r="B4" s="3" t="inlineStr">
        <is>
          <t>Date &amp; Heure</t>
        </is>
      </c>
      <c r="C4" s="3" t="inlineStr">
        <is>
          <t>Client</t>
        </is>
      </c>
      <c r="D4" s="3" t="inlineStr">
        <is>
          <t>Dépôt Origine</t>
        </is>
      </c>
      <c r="E4" s="3" t="inlineStr">
        <is>
          <t>Livreur Assigné</t>
        </is>
      </c>
      <c r="F4" s="3" t="inlineStr">
        <is>
          <t>Format</t>
        </is>
      </c>
      <c r="G4" s="3" t="inlineStr">
        <is>
          <t>Prix Bouteille (F)</t>
        </is>
      </c>
      <c r="H4" s="3" t="inlineStr">
        <is>
          <t>Frais Livr. (F)</t>
        </is>
      </c>
      <c r="I4" s="3" t="inlineStr">
        <is>
          <t>Total Client (F)</t>
        </is>
      </c>
      <c r="J4" s="3" t="inlineStr">
        <is>
          <t>Gain Livreur Net (F)</t>
        </is>
      </c>
      <c r="K4" s="3" t="inlineStr">
        <is>
          <t>Marge Brute 18 EITHING (F)</t>
        </is>
      </c>
    </row>
    <row r="5" ht="20" customHeight="1">
      <c r="A5" s="4" t="inlineStr">
        <is>
          <t>CMD-8028</t>
        </is>
      </c>
      <c r="B5" s="4" t="inlineStr">
        <is>
          <t>01/11/2026 09:15</t>
        </is>
      </c>
      <c r="C5" s="5" t="inlineStr">
        <is>
          <t>M. Pedro KPONON</t>
        </is>
      </c>
      <c r="D5" s="5" t="inlineStr">
        <is>
          <t>Dépôt Central Gaz Akpakpa</t>
        </is>
      </c>
      <c r="E5" s="5" t="inlineStr">
        <is>
          <t>Bio Chabi</t>
        </is>
      </c>
      <c r="F5" s="4" t="inlineStr">
        <is>
          <t>6 kg</t>
        </is>
      </c>
      <c r="G5" s="6" t="n">
        <v>4950</v>
      </c>
      <c r="H5" s="6" t="n">
        <v>1000</v>
      </c>
      <c r="I5" s="6" t="n">
        <v>5950</v>
      </c>
      <c r="J5" s="6" t="n">
        <v>500</v>
      </c>
      <c r="K5" s="6" t="n">
        <v>500</v>
      </c>
    </row>
    <row r="6" ht="20" customHeight="1">
      <c r="A6" s="7" t="inlineStr">
        <is>
          <t>CMD-8029</t>
        </is>
      </c>
      <c r="B6" s="7" t="inlineStr">
        <is>
          <t>01/11/2026 09:40</t>
        </is>
      </c>
      <c r="C6" s="8" t="inlineStr">
        <is>
          <t>Mme Awa SOULE</t>
        </is>
      </c>
      <c r="D6" s="8" t="inlineStr">
        <is>
          <t>Dépôt Étoile Rouge</t>
        </is>
      </c>
      <c r="E6" s="8" t="inlineStr">
        <is>
          <t>Bio Chabi</t>
        </is>
      </c>
      <c r="F6" s="7" t="inlineStr">
        <is>
          <t>12.5 kg</t>
        </is>
      </c>
      <c r="G6" s="9" t="n">
        <v>10300</v>
      </c>
      <c r="H6" s="9" t="n">
        <v>1400</v>
      </c>
      <c r="I6" s="9" t="n">
        <v>11700</v>
      </c>
      <c r="J6" s="9" t="n">
        <v>500</v>
      </c>
      <c r="K6" s="9" t="n">
        <v>900</v>
      </c>
    </row>
    <row r="7" ht="20" customHeight="1">
      <c r="A7" s="4" t="inlineStr">
        <is>
          <t>CMD-8030</t>
        </is>
      </c>
      <c r="B7" s="4" t="inlineStr">
        <is>
          <t>01/11/2026 10:05</t>
        </is>
      </c>
      <c r="C7" s="5" t="inlineStr">
        <is>
          <t>Dr. Fabrice HOUNTON</t>
        </is>
      </c>
      <c r="D7" s="5" t="inlineStr">
        <is>
          <t>Dépôt Kétou Centre (Siège)</t>
        </is>
      </c>
      <c r="E7" s="5" t="inlineStr">
        <is>
          <t>Idrissou Mama</t>
        </is>
      </c>
      <c r="F7" s="4" t="inlineStr">
        <is>
          <t>6 kg</t>
        </is>
      </c>
      <c r="G7" s="6" t="n">
        <v>4950</v>
      </c>
      <c r="H7" s="6" t="n">
        <v>500</v>
      </c>
      <c r="I7" s="6" t="n">
        <v>5450</v>
      </c>
      <c r="J7" s="6" t="n">
        <v>500</v>
      </c>
      <c r="K7" s="6" t="n">
        <v>0</v>
      </c>
    </row>
    <row r="8" ht="20" customHeight="1">
      <c r="A8" s="7" t="inlineStr">
        <is>
          <t>CMD-8031</t>
        </is>
      </c>
      <c r="B8" s="7" t="inlineStr">
        <is>
          <t>01/11/2026 10:30</t>
        </is>
      </c>
      <c r="C8" s="8" t="inlineStr">
        <is>
          <t>Société AGRO-BENIN</t>
        </is>
      </c>
      <c r="D8" s="8" t="inlineStr">
        <is>
          <t>Dépôt Calavi Arconville</t>
        </is>
      </c>
      <c r="E8" s="8" t="inlineStr">
        <is>
          <t>Bio Chabi</t>
        </is>
      </c>
      <c r="F8" s="7" t="inlineStr">
        <is>
          <t>12.5 kg</t>
        </is>
      </c>
      <c r="G8" s="9" t="n">
        <v>10300</v>
      </c>
      <c r="H8" s="9" t="n">
        <v>2100</v>
      </c>
      <c r="I8" s="9" t="n">
        <v>12400</v>
      </c>
      <c r="J8" s="9" t="n">
        <v>500</v>
      </c>
      <c r="K8" s="9" t="n">
        <v>1600</v>
      </c>
    </row>
    <row r="9" ht="20" customHeight="1">
      <c r="A9" s="4" t="inlineStr">
        <is>
          <t>CMD-8032</t>
        </is>
      </c>
      <c r="B9" s="4" t="inlineStr">
        <is>
          <t>01/11/2026 11:10</t>
        </is>
      </c>
      <c r="C9" s="5" t="inlineStr">
        <is>
          <t>M. Hubert TOKPANOU</t>
        </is>
      </c>
      <c r="D9" s="5" t="inlineStr">
        <is>
          <t>Dépôt Kétou Centre (Siège)</t>
        </is>
      </c>
      <c r="E9" s="5" t="inlineStr">
        <is>
          <t>Idrissou Mama</t>
        </is>
      </c>
      <c r="F9" s="4" t="inlineStr">
        <is>
          <t>12.5 kg</t>
        </is>
      </c>
      <c r="G9" s="6" t="n">
        <v>10300</v>
      </c>
      <c r="H9" s="6" t="n">
        <v>700</v>
      </c>
      <c r="I9" s="6" t="n">
        <v>11000</v>
      </c>
      <c r="J9" s="6" t="n">
        <v>500</v>
      </c>
      <c r="K9" s="6" t="n">
        <v>200</v>
      </c>
    </row>
    <row r="10" ht="20" customHeight="1">
      <c r="A10" s="7" t="inlineStr">
        <is>
          <t>CMD-8033</t>
        </is>
      </c>
      <c r="B10" s="7" t="inlineStr">
        <is>
          <t>01/11/2026 11:45</t>
        </is>
      </c>
      <c r="C10" s="8" t="inlineStr">
        <is>
          <t>Mme Justine DOSSOU</t>
        </is>
      </c>
      <c r="D10" s="8" t="inlineStr">
        <is>
          <t>Dépôt Porto-Novo Ouando</t>
        </is>
      </c>
      <c r="E10" s="8" t="inlineStr">
        <is>
          <t>Marcelle Gbaguidi</t>
        </is>
      </c>
      <c r="F10" s="7" t="inlineStr">
        <is>
          <t>6 kg</t>
        </is>
      </c>
      <c r="G10" s="9" t="n">
        <v>4950</v>
      </c>
      <c r="H10" s="9" t="n">
        <v>1000</v>
      </c>
      <c r="I10" s="9" t="n">
        <v>5950</v>
      </c>
      <c r="J10" s="9" t="n">
        <v>500</v>
      </c>
      <c r="K10" s="9" t="n">
        <v>500</v>
      </c>
    </row>
    <row r="11" ht="20" customHeight="1">
      <c r="A11" s="4" t="inlineStr">
        <is>
          <t>CMD-8034</t>
        </is>
      </c>
      <c r="B11" s="4" t="inlineStr">
        <is>
          <t>01/11/2026 12:20</t>
        </is>
      </c>
      <c r="C11" s="5" t="inlineStr">
        <is>
          <t>Hôtel La Paix</t>
        </is>
      </c>
      <c r="D11" s="5" t="inlineStr">
        <is>
          <t>Dépôt Pobè Gare</t>
        </is>
      </c>
      <c r="E11" s="5" t="inlineStr">
        <is>
          <t>Marcelle Gbaguidi</t>
        </is>
      </c>
      <c r="F11" s="4" t="inlineStr">
        <is>
          <t>12.5 kg</t>
        </is>
      </c>
      <c r="G11" s="6" t="n">
        <v>10300</v>
      </c>
      <c r="H11" s="6" t="n">
        <v>1400</v>
      </c>
      <c r="I11" s="6" t="n">
        <v>11700</v>
      </c>
      <c r="J11" s="6" t="n">
        <v>500</v>
      </c>
      <c r="K11" s="6" t="n">
        <v>900</v>
      </c>
    </row>
    <row r="12" ht="24" customHeight="1">
      <c r="A12" s="10" t="inlineStr">
        <is>
          <t>TOTAUX DE LA PÉRIODE (FCFA)</t>
        </is>
      </c>
      <c r="B12" s="11" t="n"/>
      <c r="C12" s="11" t="n"/>
      <c r="D12" s="11" t="n"/>
      <c r="E12" s="11" t="n"/>
      <c r="F12" s="11" t="n"/>
      <c r="G12" s="12">
        <f>SUM(G5:G11)</f>
        <v/>
      </c>
      <c r="H12" s="12">
        <f>SUM(H5:H11)</f>
        <v/>
      </c>
      <c r="I12" s="12">
        <f>SUM(I5:I11)</f>
        <v/>
      </c>
      <c r="J12" s="12">
        <f>SUM(J5:J11)</f>
        <v/>
      </c>
      <c r="K12" s="13">
        <f>SUM(K5:K11)</f>
        <v/>
      </c>
    </row>
  </sheetData>
  <mergeCells count="3">
    <mergeCell ref="A2:K2"/>
    <mergeCell ref="A1:K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6" customWidth="1" min="3" max="3"/>
    <col width="15" customWidth="1" min="4" max="4"/>
    <col width="23" customWidth="1" min="5" max="5"/>
    <col width="23" customWidth="1" min="6" max="6"/>
    <col width="37" customWidth="1" min="7" max="7"/>
  </cols>
  <sheetData>
    <row r="1" ht="36" customHeight="1">
      <c r="A1" s="14" t="inlineStr">
        <is>
          <t>RÉCONCILIATION DES CANAUX DE PAIEMENT - 18 EITHING SARL</t>
        </is>
      </c>
    </row>
    <row r="2"/>
    <row r="3" ht="24" customHeight="1">
      <c r="A3" s="15" t="inlineStr">
        <is>
          <t>Canal / Établissement</t>
        </is>
      </c>
      <c r="B3" s="15" t="inlineStr">
        <is>
          <t>Type de Flux</t>
        </is>
      </c>
      <c r="C3" s="15" t="inlineStr">
        <is>
          <t>Code / USSD</t>
        </is>
      </c>
      <c r="D3" s="15" t="inlineStr">
        <is>
          <t>Transactions</t>
        </is>
      </c>
      <c r="E3" s="15" t="inlineStr">
        <is>
          <t>Montant Collecté (F)</t>
        </is>
      </c>
      <c r="F3" s="15" t="inlineStr">
        <is>
          <t>Frais Passerelle (F)</t>
        </is>
      </c>
      <c r="G3" s="15" t="inlineStr">
        <is>
          <t>Net à Verser Compte 18 EITHING (F)</t>
        </is>
      </c>
    </row>
    <row r="4" ht="20" customHeight="1">
      <c r="A4" s="5" t="inlineStr">
        <is>
          <t>MTN Mobile Money Bénin</t>
        </is>
      </c>
      <c r="B4" s="5" t="inlineStr">
        <is>
          <t>Mobile Money</t>
        </is>
      </c>
      <c r="C4" s="5" t="inlineStr">
        <is>
          <t>*880#</t>
        </is>
      </c>
      <c r="D4" s="6" t="n">
        <v>4</v>
      </c>
      <c r="E4" s="6" t="n">
        <v>35050</v>
      </c>
      <c r="F4" s="6" t="n">
        <v>350</v>
      </c>
      <c r="G4" s="6" t="n">
        <v>34700</v>
      </c>
    </row>
    <row r="5" ht="20" customHeight="1">
      <c r="A5" s="5" t="inlineStr">
        <is>
          <t>Moov Money Bénin</t>
        </is>
      </c>
      <c r="B5" s="5" t="inlineStr">
        <is>
          <t>Mobile Money</t>
        </is>
      </c>
      <c r="C5" s="5" t="inlineStr">
        <is>
          <t>*155#</t>
        </is>
      </c>
      <c r="D5" s="6" t="n">
        <v>2</v>
      </c>
      <c r="E5" s="6" t="n">
        <v>17150</v>
      </c>
      <c r="F5" s="6" t="n">
        <v>170</v>
      </c>
      <c r="G5" s="6" t="n">
        <v>16980</v>
      </c>
    </row>
    <row r="6" ht="20" customHeight="1">
      <c r="A6" s="5" t="inlineStr">
        <is>
          <t>Celtiis Cash (SBIN)</t>
        </is>
      </c>
      <c r="B6" s="5" t="inlineStr">
        <is>
          <t>Mobile Money</t>
        </is>
      </c>
      <c r="C6" s="5" t="inlineStr">
        <is>
          <t>*889#</t>
        </is>
      </c>
      <c r="D6" s="6" t="n">
        <v>1</v>
      </c>
      <c r="E6" s="6" t="n">
        <v>12000</v>
      </c>
      <c r="F6" s="6" t="n">
        <v>120</v>
      </c>
      <c r="G6" s="6" t="n">
        <v>11880</v>
      </c>
    </row>
    <row r="7" ht="20" customHeight="1">
      <c r="A7" s="5" t="inlineStr">
        <is>
          <t>BOA Bénin (Compte Principal)</t>
        </is>
      </c>
      <c r="B7" s="5" t="inlineStr">
        <is>
          <t>Virement Bancaire</t>
        </is>
      </c>
      <c r="C7" s="5" t="inlineStr">
        <is>
          <t>RIB 01</t>
        </is>
      </c>
      <c r="D7" s="6" t="n">
        <v>1</v>
      </c>
      <c r="E7" s="6" t="n">
        <v>45000</v>
      </c>
      <c r="F7" s="6" t="n">
        <v>0</v>
      </c>
      <c r="G7" s="6" t="n">
        <v>45000</v>
      </c>
    </row>
    <row r="8" ht="20" customHeight="1">
      <c r="A8" s="5" t="inlineStr">
        <is>
          <t>Ecobank Bénin</t>
        </is>
      </c>
      <c r="B8" s="5" t="inlineStr">
        <is>
          <t>Virement Bancaire</t>
        </is>
      </c>
      <c r="C8" s="5" t="inlineStr">
        <is>
          <t>RIB 02</t>
        </is>
      </c>
      <c r="D8" s="6" t="n">
        <v>0</v>
      </c>
      <c r="E8" s="6" t="n">
        <v>0</v>
      </c>
      <c r="F8" s="6" t="n">
        <v>0</v>
      </c>
      <c r="G8" s="6" t="n">
        <v>0</v>
      </c>
    </row>
    <row r="9" ht="20" customHeight="1">
      <c r="A9" s="5" t="inlineStr">
        <is>
          <t>Coris Bank International</t>
        </is>
      </c>
      <c r="B9" s="5" t="inlineStr">
        <is>
          <t>Virement Bancaire</t>
        </is>
      </c>
      <c r="C9" s="5" t="inlineStr">
        <is>
          <t>RIB 06</t>
        </is>
      </c>
      <c r="D9" s="6" t="n">
        <v>0</v>
      </c>
      <c r="E9" s="6" t="n">
        <v>0</v>
      </c>
      <c r="F9" s="6" t="n">
        <v>0</v>
      </c>
      <c r="G9" s="6" t="n">
        <v>0</v>
      </c>
    </row>
    <row r="10" ht="20" customHeight="1">
      <c r="A10" s="5" t="inlineStr">
        <is>
          <t>Espèces à la livraison</t>
        </is>
      </c>
      <c r="B10" s="5" t="inlineStr">
        <is>
          <t>Cash / Livreur</t>
        </is>
      </c>
      <c r="C10" s="5" t="inlineStr">
        <is>
          <t>Reçu sécurisé</t>
        </is>
      </c>
      <c r="D10" s="6" t="n">
        <v>2</v>
      </c>
      <c r="E10" s="6" t="n">
        <v>11400</v>
      </c>
      <c r="F10" s="6" t="n">
        <v>0</v>
      </c>
      <c r="G10" s="6" t="n">
        <v>11400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21" customWidth="1" min="4" max="4"/>
    <col width="24" customWidth="1" min="5" max="5"/>
    <col width="25" customWidth="1" min="6" max="6"/>
  </cols>
  <sheetData>
    <row r="1" ht="36" customHeight="1">
      <c r="A1" s="1" t="inlineStr">
        <is>
          <t>SUIVI DES COMMISSIONS LIVREURS (GARANTIE 500 FCFA NET / LIVRAISON)</t>
        </is>
      </c>
    </row>
    <row r="2"/>
    <row r="3" ht="24" customHeight="1">
      <c r="A3" s="15" t="inlineStr">
        <is>
          <t>Matricule</t>
        </is>
      </c>
      <c r="B3" s="15" t="inlineStr">
        <is>
          <t>Nom du Livreur</t>
        </is>
      </c>
      <c r="C3" s="15" t="inlineStr">
        <is>
          <t>Véhicule / Zone</t>
        </is>
      </c>
      <c r="D3" s="15" t="inlineStr">
        <is>
          <t>Bouteilles Livrées</t>
        </is>
      </c>
      <c r="E3" s="15" t="inlineStr">
        <is>
          <t>Taux Unitaire Net (F)</t>
        </is>
      </c>
      <c r="F3" s="15" t="inlineStr">
        <is>
          <t>Total Net à Verser (F)</t>
        </is>
      </c>
    </row>
    <row r="4" ht="20" customHeight="1">
      <c r="A4" s="5" t="inlineStr">
        <is>
          <t>LIV-01</t>
        </is>
      </c>
      <c r="B4" s="5" t="inlineStr">
        <is>
          <t>Bio Chabi</t>
        </is>
      </c>
      <c r="C4" s="5" t="inlineStr">
        <is>
          <t>Moto Tricycle Cargo (Littoral / Atlantique)</t>
        </is>
      </c>
      <c r="D4" s="6" t="n">
        <v>3</v>
      </c>
      <c r="E4" s="6" t="n">
        <v>500</v>
      </c>
      <c r="F4" s="6" t="n">
        <v>1500</v>
      </c>
    </row>
    <row r="5" ht="20" customHeight="1">
      <c r="A5" s="5" t="inlineStr">
        <is>
          <t>LIV-02</t>
        </is>
      </c>
      <c r="B5" s="5" t="inlineStr">
        <is>
          <t>Idrissou Mama</t>
        </is>
      </c>
      <c r="C5" s="5" t="inlineStr">
        <is>
          <t>Moto Dépannage (Plateau / Kétou)</t>
        </is>
      </c>
      <c r="D5" s="6" t="n">
        <v>2</v>
      </c>
      <c r="E5" s="6" t="n">
        <v>500</v>
      </c>
      <c r="F5" s="6" t="n">
        <v>1000</v>
      </c>
    </row>
    <row r="6" ht="20" customHeight="1">
      <c r="A6" s="5" t="inlineStr">
        <is>
          <t>LIV-03</t>
        </is>
      </c>
      <c r="B6" s="5" t="inlineStr">
        <is>
          <t>Marcelle Gbaguidi</t>
        </is>
      </c>
      <c r="C6" s="5" t="inlineStr">
        <is>
          <t>Tricycle Sécurisé (Ouémé / Pobè)</t>
        </is>
      </c>
      <c r="D6" s="6" t="n">
        <v>2</v>
      </c>
      <c r="E6" s="6" t="n">
        <v>500</v>
      </c>
      <c r="F6" s="6" t="n">
        <v>1000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2026-11-01T10:12:41Z</dcterms:created>
  <dcterms:modified xmlns:dcterms="http://purl.org/dc/terms/" xmlns:xsi="http://www.w3.org/2001/XMLSchema-instance" xsi:type="dcterms:W3CDTF">2026-11-01T10:12:41Z</dcterms:modified>
</cp:coreProperties>
</file>